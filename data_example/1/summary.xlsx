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38400" windowHeight="18100" activeTab="1"/>
  </bookViews>
  <sheets>
    <sheet name="FT" sheetId="2" r:id="rId1"/>
    <sheet name="QC" sheetId="3" r:id="rId2"/>
  </sheets>
  <calcPr calcId="152511"/>
</workbook>
</file>

<file path=xl/calcChain.xml><?xml version="1.0" encoding="utf-8"?>
<calcChain xmlns="http://schemas.openxmlformats.org/spreadsheetml/2006/main">
  <c r="K8" i="3" l="1"/>
  <c r="K4" i="3"/>
  <c r="I5" i="3"/>
  <c r="G5" i="3"/>
  <c r="E5" i="3"/>
  <c r="I4" i="3"/>
  <c r="J37" i="3" s="1"/>
  <c r="G4" i="3"/>
  <c r="H9" i="3" s="1"/>
  <c r="E4" i="3"/>
  <c r="F8" i="3" s="1"/>
  <c r="J18" i="3" l="1"/>
  <c r="J5" i="3"/>
  <c r="F5" i="3"/>
  <c r="J22" i="3"/>
  <c r="J10" i="3"/>
  <c r="J26" i="3"/>
  <c r="J28" i="3"/>
  <c r="J14" i="3"/>
  <c r="J30" i="3"/>
  <c r="J20" i="3"/>
  <c r="J8" i="3"/>
  <c r="J24" i="3"/>
  <c r="J12" i="3"/>
  <c r="J16" i="3"/>
  <c r="J32" i="3"/>
  <c r="H30" i="3"/>
  <c r="H22" i="3"/>
  <c r="H12" i="3"/>
  <c r="H20" i="3"/>
  <c r="H28" i="3"/>
  <c r="H14" i="3"/>
  <c r="H16" i="3"/>
  <c r="H24" i="3"/>
  <c r="H32" i="3"/>
  <c r="G6" i="3"/>
  <c r="H6" i="3" s="1"/>
  <c r="H10" i="3"/>
  <c r="H18" i="3"/>
  <c r="H26" i="3"/>
  <c r="H34" i="3"/>
  <c r="H36" i="3"/>
  <c r="F37" i="3"/>
  <c r="L37" i="3"/>
  <c r="L35" i="3"/>
  <c r="L33" i="3"/>
  <c r="L31" i="3"/>
  <c r="L29" i="3"/>
  <c r="L27" i="3"/>
  <c r="L25" i="3"/>
  <c r="L23" i="3"/>
  <c r="L21" i="3"/>
  <c r="L19" i="3"/>
  <c r="L17" i="3"/>
  <c r="L15" i="3"/>
  <c r="L13" i="3"/>
  <c r="L11" i="3"/>
  <c r="L9" i="3"/>
  <c r="L34" i="3"/>
  <c r="L28" i="3"/>
  <c r="L24" i="3"/>
  <c r="L18" i="3"/>
  <c r="L12" i="3"/>
  <c r="L30" i="3"/>
  <c r="L22" i="3"/>
  <c r="L16" i="3"/>
  <c r="L32" i="3"/>
  <c r="L26" i="3"/>
  <c r="L20" i="3"/>
  <c r="L14" i="3"/>
  <c r="L36" i="3"/>
  <c r="L10" i="3"/>
  <c r="H5" i="3"/>
  <c r="F13" i="3"/>
  <c r="F19" i="3"/>
  <c r="F25" i="3"/>
  <c r="F29" i="3"/>
  <c r="F31" i="3"/>
  <c r="F35" i="3"/>
  <c r="H11" i="3"/>
  <c r="H15" i="3"/>
  <c r="H17" i="3"/>
  <c r="H21" i="3"/>
  <c r="H23" i="3"/>
  <c r="H27" i="3"/>
  <c r="H31" i="3"/>
  <c r="H8" i="3"/>
  <c r="F10" i="3"/>
  <c r="F12" i="3"/>
  <c r="F14" i="3"/>
  <c r="F16" i="3"/>
  <c r="F18" i="3"/>
  <c r="F20" i="3"/>
  <c r="F22" i="3"/>
  <c r="F24" i="3"/>
  <c r="F26" i="3"/>
  <c r="F28" i="3"/>
  <c r="F30" i="3"/>
  <c r="F32" i="3"/>
  <c r="F34" i="3"/>
  <c r="F36" i="3"/>
  <c r="J34" i="3"/>
  <c r="J36" i="3"/>
  <c r="I6" i="3"/>
  <c r="J6" i="3" s="1"/>
  <c r="F9" i="3"/>
  <c r="F15" i="3"/>
  <c r="F21" i="3"/>
  <c r="F27" i="3"/>
  <c r="F33" i="3"/>
  <c r="K5" i="3"/>
  <c r="L5" i="3" s="1"/>
  <c r="H13" i="3"/>
  <c r="H19" i="3"/>
  <c r="H25" i="3"/>
  <c r="H29" i="3"/>
  <c r="H33" i="3"/>
  <c r="H35" i="3"/>
  <c r="H37" i="3"/>
  <c r="L8" i="3"/>
  <c r="F11" i="3"/>
  <c r="F23" i="3"/>
  <c r="J9" i="3"/>
  <c r="J11" i="3"/>
  <c r="J13" i="3"/>
  <c r="J15" i="3"/>
  <c r="J17" i="3"/>
  <c r="J19" i="3"/>
  <c r="J21" i="3"/>
  <c r="J23" i="3"/>
  <c r="J25" i="3"/>
  <c r="J27" i="3"/>
  <c r="J29" i="3"/>
  <c r="J31" i="3"/>
  <c r="J33" i="3"/>
  <c r="J35" i="3"/>
  <c r="F17" i="3"/>
  <c r="E6" i="3"/>
  <c r="F6" i="3" s="1"/>
  <c r="K6" i="3" l="1"/>
  <c r="L6" i="3" s="1"/>
  <c r="E5" i="2" l="1"/>
  <c r="E4" i="2"/>
  <c r="F33" i="2" s="1"/>
  <c r="F5" i="2" l="1"/>
  <c r="F36" i="2"/>
  <c r="F28" i="2"/>
  <c r="F12" i="2"/>
  <c r="F20" i="2"/>
  <c r="F15" i="2"/>
  <c r="F23" i="2"/>
  <c r="F31" i="2"/>
  <c r="F10" i="2"/>
  <c r="F18" i="2"/>
  <c r="F26" i="2"/>
  <c r="F34" i="2"/>
  <c r="F8" i="2"/>
  <c r="F13" i="2"/>
  <c r="F21" i="2"/>
  <c r="F29" i="2"/>
  <c r="F37" i="2"/>
  <c r="F16" i="2"/>
  <c r="F24" i="2"/>
  <c r="F32" i="2"/>
  <c r="E6" i="2"/>
  <c r="F6" i="2" s="1"/>
  <c r="F11" i="2"/>
  <c r="F19" i="2"/>
  <c r="F27" i="2"/>
  <c r="F35" i="2"/>
  <c r="F14" i="2"/>
  <c r="F22" i="2"/>
  <c r="F30" i="2"/>
  <c r="F9" i="2"/>
  <c r="F17" i="2"/>
  <c r="F25" i="2"/>
</calcChain>
</file>

<file path=xl/sharedStrings.xml><?xml version="1.0" encoding="utf-8"?>
<sst xmlns="http://schemas.openxmlformats.org/spreadsheetml/2006/main" count="115" uniqueCount="41">
  <si>
    <t>FT_R0</t>
  </si>
  <si>
    <t>汇总</t>
  </si>
  <si>
    <t>SBIN</t>
  </si>
  <si>
    <t>BinName</t>
  </si>
  <si>
    <t>Result</t>
  </si>
  <si>
    <t>CNT</t>
  </si>
  <si>
    <t>Yield</t>
  </si>
  <si>
    <t>ALL_IN</t>
  </si>
  <si>
    <t>PASS</t>
  </si>
  <si>
    <t>FAIL</t>
  </si>
  <si>
    <t xml:space="preserve">passed          </t>
  </si>
  <si>
    <t xml:space="preserve">mbist           </t>
  </si>
  <si>
    <t xml:space="preserve">dc_scan         </t>
  </si>
  <si>
    <t xml:space="preserve">tx_edr_pwr      </t>
  </si>
  <si>
    <t xml:space="preserve">rf_img          </t>
  </si>
  <si>
    <t xml:space="preserve">xtal_25u        </t>
  </si>
  <si>
    <t>WQ7037AXB_200201</t>
    <phoneticPr fontId="1" type="noConversion"/>
  </si>
  <si>
    <t>WQ7037AXB_200201</t>
    <phoneticPr fontId="1" type="noConversion"/>
  </si>
  <si>
    <t xml:space="preserve">shutdown        </t>
  </si>
  <si>
    <t xml:space="preserve">uvp_flag        </t>
  </si>
  <si>
    <t xml:space="preserve">dc12            </t>
  </si>
  <si>
    <t>I_chg_100ma_V4P0</t>
  </si>
  <si>
    <t>QC_R0</t>
    <phoneticPr fontId="1" type="noConversion"/>
  </si>
  <si>
    <t>QC_R1</t>
    <phoneticPr fontId="1" type="noConversion"/>
  </si>
  <si>
    <t>QC_R2</t>
    <phoneticPr fontId="1" type="noConversion"/>
  </si>
  <si>
    <t xml:space="preserve">passed       </t>
  </si>
  <si>
    <t xml:space="preserve">io_test      </t>
  </si>
  <si>
    <t xml:space="preserve">lbk_mic0     </t>
  </si>
  <si>
    <t xml:space="preserve">ac_scan      </t>
  </si>
  <si>
    <t xml:space="preserve">io_openshort </t>
  </si>
  <si>
    <t xml:space="preserve">rf_img       </t>
  </si>
  <si>
    <t xml:space="preserve">tx_horm      </t>
  </si>
  <si>
    <t xml:space="preserve">dc_scan      </t>
  </si>
  <si>
    <t>iddq_cmd_flag</t>
  </si>
  <si>
    <t xml:space="preserve">id_check     </t>
  </si>
  <si>
    <t xml:space="preserve">dc12         </t>
  </si>
  <si>
    <t xml:space="preserve">ldo08        </t>
  </si>
  <si>
    <t xml:space="preserve">rx_iqm       </t>
  </si>
  <si>
    <t xml:space="preserve">tx_upctune   </t>
  </si>
  <si>
    <t xml:space="preserve">tx_edr_pwr   </t>
  </si>
  <si>
    <t>lbk_mic1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</si>
</sst>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3" xfId="0" applyBorder="1"/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/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2" borderId="12" xfId="0" applyFill="1" applyBorder="1" applyAlignment="1">
      <alignment vertical="center"/>
    </xf>
    <xf numFmtId="10" fontId="2" fillId="0" borderId="11" xfId="0" applyNumberFormat="1" applyFont="1" applyBorder="1"/>
    <xf numFmtId="10" fontId="2" fillId="0" borderId="12" xfId="0" applyNumberFormat="1" applyFont="1" applyBorder="1"/>
    <xf numFmtId="10" fontId="2" fillId="0" borderId="13" xfId="0" applyNumberFormat="1" applyFont="1" applyBorder="1"/>
    <xf numFmtId="0" fontId="0" fillId="3" borderId="12" xfId="0" applyFill="1" applyBorder="1" applyAlignment="1">
      <alignment vertical="center"/>
    </xf>
    <xf numFmtId="10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0" fontId="0" fillId="0" borderId="12" xfId="0" applyNumberFormat="1" applyBorder="1"/>
    <xf numFmtId="10" fontId="0" fillId="0" borderId="13" xfId="0" applyNumberFormat="1" applyBorder="1"/>
    <xf numFmtId="0" fontId="0" fillId="0" borderId="15" xfId="0" applyBorder="1"/>
    <xf numFmtId="10" fontId="0" fillId="0" borderId="5" xfId="0" applyNumberFormat="1" applyBorder="1"/>
    <xf numFmtId="0" fontId="0" fillId="0" borderId="6" xfId="0" applyBorder="1"/>
    <xf numFmtId="10" fontId="0" fillId="0" borderId="6" xfId="0" applyNumberFormat="1" applyBorder="1"/>
    <xf numFmtId="10" fontId="0" fillId="0" borderId="7" xfId="0" applyNumberFormat="1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2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G45" sqref="G45"/>
    </sheetView>
  </sheetViews>
  <sheetFormatPr defaultRowHeight="14" x14ac:dyDescent="0.25"/>
  <cols>
    <col min="3" max="3" width="22.1796875" bestFit="1" customWidth="1"/>
    <col min="7" max="7" width="47" bestFit="1" customWidth="1"/>
  </cols>
  <sheetData>
    <row r="1" spans="2:6" ht="14.5" thickBot="1" x14ac:dyDescent="0.3"/>
    <row r="2" spans="2:6" x14ac:dyDescent="0.25">
      <c r="B2" s="32" t="s">
        <v>16</v>
      </c>
      <c r="C2" s="33"/>
      <c r="D2" s="1"/>
      <c r="E2" s="34" t="s">
        <v>0</v>
      </c>
      <c r="F2" s="35"/>
    </row>
    <row r="3" spans="2:6" ht="14.5" thickBot="1" x14ac:dyDescent="0.3">
      <c r="B3" s="2" t="s">
        <v>2</v>
      </c>
      <c r="C3" s="3" t="s">
        <v>3</v>
      </c>
      <c r="D3" s="4" t="s">
        <v>4</v>
      </c>
      <c r="E3" s="2" t="s">
        <v>5</v>
      </c>
      <c r="F3" s="3" t="s">
        <v>6</v>
      </c>
    </row>
    <row r="4" spans="2:6" x14ac:dyDescent="0.25">
      <c r="B4" s="5"/>
      <c r="C4" s="6" t="s">
        <v>7</v>
      </c>
      <c r="D4" s="7"/>
      <c r="E4" s="5">
        <f>SUM(E8:E37)</f>
        <v>215</v>
      </c>
      <c r="F4" s="8"/>
    </row>
    <row r="5" spans="2:6" x14ac:dyDescent="0.25">
      <c r="B5" s="12"/>
      <c r="C5" s="16" t="s">
        <v>8</v>
      </c>
      <c r="D5" s="14"/>
      <c r="E5" s="15">
        <f>E8</f>
        <v>200</v>
      </c>
      <c r="F5" s="17">
        <f>E5/E4</f>
        <v>0.93023255813953487</v>
      </c>
    </row>
    <row r="6" spans="2:6" x14ac:dyDescent="0.25">
      <c r="B6" s="12"/>
      <c r="C6" s="20" t="s">
        <v>9</v>
      </c>
      <c r="D6" s="14"/>
      <c r="E6" s="15">
        <f>E4-E5</f>
        <v>15</v>
      </c>
      <c r="F6" s="17">
        <f>E6/E4</f>
        <v>6.9767441860465115E-2</v>
      </c>
    </row>
    <row r="7" spans="2:6" x14ac:dyDescent="0.25">
      <c r="B7" s="12"/>
      <c r="C7" s="13"/>
      <c r="D7" s="14"/>
      <c r="E7" s="15"/>
      <c r="F7" s="21"/>
    </row>
    <row r="8" spans="2:6" x14ac:dyDescent="0.25">
      <c r="B8" s="12">
        <v>1</v>
      </c>
      <c r="C8" s="13" t="s">
        <v>10</v>
      </c>
      <c r="D8" s="14" t="s">
        <v>8</v>
      </c>
      <c r="E8" s="24">
        <v>200</v>
      </c>
      <c r="F8" s="21">
        <f>E8/E4</f>
        <v>0.93023255813953487</v>
      </c>
    </row>
    <row r="9" spans="2:6" x14ac:dyDescent="0.25">
      <c r="B9" s="12">
        <v>62</v>
      </c>
      <c r="C9" s="13" t="s">
        <v>11</v>
      </c>
      <c r="D9" s="14" t="s">
        <v>9</v>
      </c>
      <c r="E9" s="24">
        <v>3</v>
      </c>
      <c r="F9" s="21">
        <f>E9/E4</f>
        <v>1.3953488372093023E-2</v>
      </c>
    </row>
    <row r="10" spans="2:6" x14ac:dyDescent="0.25">
      <c r="B10" s="12">
        <v>7305</v>
      </c>
      <c r="C10" s="13" t="s">
        <v>15</v>
      </c>
      <c r="D10" s="14" t="s">
        <v>9</v>
      </c>
      <c r="E10" s="24">
        <v>3</v>
      </c>
      <c r="F10" s="21">
        <f>E10/E4</f>
        <v>1.3953488372093023E-2</v>
      </c>
    </row>
    <row r="11" spans="2:6" x14ac:dyDescent="0.25">
      <c r="B11" s="12">
        <v>96</v>
      </c>
      <c r="C11" s="13" t="s">
        <v>18</v>
      </c>
      <c r="D11" s="14" t="s">
        <v>9</v>
      </c>
      <c r="E11" s="24">
        <v>2</v>
      </c>
      <c r="F11" s="21">
        <f>E11/E4</f>
        <v>9.3023255813953487E-3</v>
      </c>
    </row>
    <row r="12" spans="2:6" x14ac:dyDescent="0.25">
      <c r="B12" s="12">
        <v>7500</v>
      </c>
      <c r="C12" s="13" t="s">
        <v>14</v>
      </c>
      <c r="D12" s="14" t="s">
        <v>9</v>
      </c>
      <c r="E12" s="24">
        <v>2</v>
      </c>
      <c r="F12" s="21">
        <f>E12/E4</f>
        <v>9.3023255813953487E-3</v>
      </c>
    </row>
    <row r="13" spans="2:6" x14ac:dyDescent="0.25">
      <c r="B13" s="12">
        <v>60</v>
      </c>
      <c r="C13" s="13" t="s">
        <v>12</v>
      </c>
      <c r="D13" s="14" t="s">
        <v>9</v>
      </c>
      <c r="E13" s="24">
        <v>1</v>
      </c>
      <c r="F13" s="21">
        <f>E13/E4</f>
        <v>4.6511627906976744E-3</v>
      </c>
    </row>
    <row r="14" spans="2:6" x14ac:dyDescent="0.25">
      <c r="B14" s="12">
        <v>70</v>
      </c>
      <c r="C14" s="13" t="s">
        <v>19</v>
      </c>
      <c r="D14" s="14" t="s">
        <v>9</v>
      </c>
      <c r="E14" s="24">
        <v>1</v>
      </c>
      <c r="F14" s="21">
        <f>E14/E4</f>
        <v>4.6511627906976744E-3</v>
      </c>
    </row>
    <row r="15" spans="2:6" x14ac:dyDescent="0.25">
      <c r="B15" s="12">
        <v>7103</v>
      </c>
      <c r="C15" s="13" t="s">
        <v>20</v>
      </c>
      <c r="D15" s="14" t="s">
        <v>9</v>
      </c>
      <c r="E15" s="24">
        <v>1</v>
      </c>
      <c r="F15" s="21">
        <f>E15/E4</f>
        <v>4.6511627906976744E-3</v>
      </c>
    </row>
    <row r="16" spans="2:6" x14ac:dyDescent="0.25">
      <c r="B16" s="12">
        <v>7219</v>
      </c>
      <c r="C16" s="13" t="s">
        <v>21</v>
      </c>
      <c r="D16" s="14" t="s">
        <v>9</v>
      </c>
      <c r="E16" s="24">
        <v>1</v>
      </c>
      <c r="F16" s="21">
        <f>E16/E4</f>
        <v>4.6511627906976744E-3</v>
      </c>
    </row>
    <row r="17" spans="2:6" x14ac:dyDescent="0.25">
      <c r="B17" s="12">
        <v>7515</v>
      </c>
      <c r="C17" s="13" t="s">
        <v>13</v>
      </c>
      <c r="D17" s="14" t="s">
        <v>9</v>
      </c>
      <c r="E17" s="24">
        <v>1</v>
      </c>
      <c r="F17" s="21">
        <f>E17/E4</f>
        <v>4.6511627906976744E-3</v>
      </c>
    </row>
    <row r="18" spans="2:6" x14ac:dyDescent="0.25">
      <c r="B18" s="12"/>
      <c r="C18" s="13"/>
      <c r="D18" s="14" t="s">
        <v>9</v>
      </c>
      <c r="E18" s="24"/>
      <c r="F18" s="21">
        <f>E18/E4</f>
        <v>0</v>
      </c>
    </row>
    <row r="19" spans="2:6" x14ac:dyDescent="0.25">
      <c r="B19" s="12"/>
      <c r="C19" s="13"/>
      <c r="D19" s="14" t="s">
        <v>9</v>
      </c>
      <c r="E19" s="24"/>
      <c r="F19" s="21">
        <f>E19/E4</f>
        <v>0</v>
      </c>
    </row>
    <row r="20" spans="2:6" x14ac:dyDescent="0.25">
      <c r="B20" s="12"/>
      <c r="C20" s="13"/>
      <c r="D20" s="14" t="s">
        <v>9</v>
      </c>
      <c r="E20" s="24"/>
      <c r="F20" s="21">
        <f>E20/E4</f>
        <v>0</v>
      </c>
    </row>
    <row r="21" spans="2:6" x14ac:dyDescent="0.25">
      <c r="B21" s="12"/>
      <c r="C21" s="13"/>
      <c r="D21" s="14" t="s">
        <v>9</v>
      </c>
      <c r="E21" s="24"/>
      <c r="F21" s="21">
        <f>E21/E4</f>
        <v>0</v>
      </c>
    </row>
    <row r="22" spans="2:6" x14ac:dyDescent="0.25">
      <c r="B22" s="12"/>
      <c r="C22" s="13"/>
      <c r="D22" s="14" t="s">
        <v>9</v>
      </c>
      <c r="E22" s="24"/>
      <c r="F22" s="21">
        <f>E22/E4</f>
        <v>0</v>
      </c>
    </row>
    <row r="23" spans="2:6" x14ac:dyDescent="0.25">
      <c r="B23" s="12"/>
      <c r="C23" s="13"/>
      <c r="D23" s="14" t="s">
        <v>9</v>
      </c>
      <c r="E23" s="24"/>
      <c r="F23" s="21">
        <f>E23/E4</f>
        <v>0</v>
      </c>
    </row>
    <row r="24" spans="2:6" x14ac:dyDescent="0.25">
      <c r="B24" s="12"/>
      <c r="C24" s="13"/>
      <c r="D24" s="14" t="s">
        <v>9</v>
      </c>
      <c r="E24" s="24"/>
      <c r="F24" s="21">
        <f>E24/E4</f>
        <v>0</v>
      </c>
    </row>
    <row r="25" spans="2:6" x14ac:dyDescent="0.25">
      <c r="B25" s="12"/>
      <c r="C25" s="13"/>
      <c r="D25" s="14" t="s">
        <v>9</v>
      </c>
      <c r="E25" s="24"/>
      <c r="F25" s="21">
        <f>E25/E4</f>
        <v>0</v>
      </c>
    </row>
    <row r="26" spans="2:6" x14ac:dyDescent="0.25">
      <c r="B26" s="12"/>
      <c r="C26" s="13"/>
      <c r="D26" s="14" t="s">
        <v>9</v>
      </c>
      <c r="E26" s="24"/>
      <c r="F26" s="21">
        <f>E26/E4</f>
        <v>0</v>
      </c>
    </row>
    <row r="27" spans="2:6" x14ac:dyDescent="0.25">
      <c r="B27" s="12"/>
      <c r="C27" s="13"/>
      <c r="D27" s="14" t="s">
        <v>9</v>
      </c>
      <c r="E27" s="24"/>
      <c r="F27" s="21">
        <f>E27/E4</f>
        <v>0</v>
      </c>
    </row>
    <row r="28" spans="2:6" x14ac:dyDescent="0.25">
      <c r="B28" s="12"/>
      <c r="C28" s="13"/>
      <c r="D28" s="14" t="s">
        <v>9</v>
      </c>
      <c r="E28" s="24"/>
      <c r="F28" s="21">
        <f>E28/E4</f>
        <v>0</v>
      </c>
    </row>
    <row r="29" spans="2:6" x14ac:dyDescent="0.25">
      <c r="B29" s="12"/>
      <c r="C29" s="13"/>
      <c r="D29" s="14" t="s">
        <v>9</v>
      </c>
      <c r="E29" s="24"/>
      <c r="F29" s="21">
        <f>E29/E4</f>
        <v>0</v>
      </c>
    </row>
    <row r="30" spans="2:6" x14ac:dyDescent="0.25">
      <c r="B30" s="12"/>
      <c r="C30" s="13"/>
      <c r="D30" s="14" t="s">
        <v>9</v>
      </c>
      <c r="E30" s="24"/>
      <c r="F30" s="21">
        <f>E30/E4</f>
        <v>0</v>
      </c>
    </row>
    <row r="31" spans="2:6" x14ac:dyDescent="0.25">
      <c r="B31" s="12"/>
      <c r="C31" s="13"/>
      <c r="D31" s="14" t="s">
        <v>9</v>
      </c>
      <c r="E31" s="24"/>
      <c r="F31" s="21">
        <f>E31/E4</f>
        <v>0</v>
      </c>
    </row>
    <row r="32" spans="2:6" x14ac:dyDescent="0.25">
      <c r="B32" s="12"/>
      <c r="C32" s="13"/>
      <c r="D32" s="14" t="s">
        <v>9</v>
      </c>
      <c r="E32" s="24"/>
      <c r="F32" s="21">
        <f>E32/E4</f>
        <v>0</v>
      </c>
    </row>
    <row r="33" spans="2:6" x14ac:dyDescent="0.25">
      <c r="B33" s="12"/>
      <c r="C33" s="13"/>
      <c r="D33" s="14" t="s">
        <v>9</v>
      </c>
      <c r="E33" s="24"/>
      <c r="F33" s="21">
        <f>E33/E4</f>
        <v>0</v>
      </c>
    </row>
    <row r="34" spans="2:6" x14ac:dyDescent="0.25">
      <c r="B34" s="12"/>
      <c r="C34" s="13"/>
      <c r="D34" s="14" t="s">
        <v>9</v>
      </c>
      <c r="E34" s="24"/>
      <c r="F34" s="21">
        <f>E34/E4</f>
        <v>0</v>
      </c>
    </row>
    <row r="35" spans="2:6" x14ac:dyDescent="0.25">
      <c r="B35" s="12"/>
      <c r="C35" s="13"/>
      <c r="D35" s="14" t="s">
        <v>9</v>
      </c>
      <c r="E35" s="24"/>
      <c r="F35" s="21">
        <f>E35/E4</f>
        <v>0</v>
      </c>
    </row>
    <row r="36" spans="2:6" x14ac:dyDescent="0.25">
      <c r="B36" s="12"/>
      <c r="C36" s="13"/>
      <c r="D36" s="14" t="s">
        <v>9</v>
      </c>
      <c r="E36" s="24"/>
      <c r="F36" s="21">
        <f>E36/E4</f>
        <v>0</v>
      </c>
    </row>
    <row r="37" spans="2:6" ht="14.5" thickBot="1" x14ac:dyDescent="0.3">
      <c r="B37" s="2"/>
      <c r="C37" s="3"/>
      <c r="D37" s="4" t="s">
        <v>9</v>
      </c>
      <c r="E37" s="27"/>
      <c r="F37" s="28">
        <f>E37/E4</f>
        <v>0</v>
      </c>
    </row>
  </sheetData>
  <mergeCells count="2">
    <mergeCell ref="B2:C2"/>
    <mergeCell ref="E2:F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"/>
  <sheetViews>
    <sheetView tabSelected="1" workbookViewId="0">
      <selection activeCell="M43" sqref="M43"/>
    </sheetView>
  </sheetViews>
  <sheetFormatPr defaultRowHeight="14" x14ac:dyDescent="0.25"/>
  <cols>
    <col min="3" max="3" width="22.1796875" bestFit="1" customWidth="1"/>
    <col min="13" max="13" width="47" bestFit="1" customWidth="1"/>
  </cols>
  <sheetData>
    <row r="1" spans="2:12" ht="14.5" thickBot="1" x14ac:dyDescent="0.3"/>
    <row r="2" spans="2:12" x14ac:dyDescent="0.25">
      <c r="B2" s="32" t="s">
        <v>17</v>
      </c>
      <c r="C2" s="33"/>
      <c r="D2" s="1"/>
      <c r="E2" s="34" t="s">
        <v>22</v>
      </c>
      <c r="F2" s="35"/>
      <c r="G2" s="36" t="s">
        <v>23</v>
      </c>
      <c r="H2" s="35"/>
      <c r="I2" s="36" t="s">
        <v>24</v>
      </c>
      <c r="J2" s="35"/>
      <c r="K2" s="36" t="s">
        <v>1</v>
      </c>
      <c r="L2" s="35"/>
    </row>
    <row r="3" spans="2:12" ht="14.5" thickBot="1" x14ac:dyDescent="0.3">
      <c r="B3" s="2" t="s">
        <v>2</v>
      </c>
      <c r="C3" s="3" t="s">
        <v>3</v>
      </c>
      <c r="D3" s="4" t="s">
        <v>4</v>
      </c>
      <c r="E3" s="2" t="s">
        <v>5</v>
      </c>
      <c r="F3" s="3" t="s">
        <v>6</v>
      </c>
      <c r="G3" s="3" t="s">
        <v>5</v>
      </c>
      <c r="H3" s="3" t="s">
        <v>6</v>
      </c>
      <c r="I3" s="3" t="s">
        <v>5</v>
      </c>
      <c r="J3" s="3" t="s">
        <v>6</v>
      </c>
      <c r="K3" s="3" t="s">
        <v>5</v>
      </c>
      <c r="L3" s="4" t="s">
        <v>6</v>
      </c>
    </row>
    <row r="4" spans="2:12" x14ac:dyDescent="0.25">
      <c r="B4" s="5"/>
      <c r="C4" s="6" t="s">
        <v>7</v>
      </c>
      <c r="D4" s="7"/>
      <c r="E4" s="5">
        <f>SUM(E8:E37)</f>
        <v>449</v>
      </c>
      <c r="F4" s="8"/>
      <c r="G4" s="9">
        <f>SUM(G8:G37)</f>
        <v>82</v>
      </c>
      <c r="H4" s="8"/>
      <c r="I4" s="9">
        <f>SUM(I8:I37)</f>
        <v>6</v>
      </c>
      <c r="J4" s="8"/>
      <c r="K4" s="10">
        <f>SUM(K8:K37)</f>
        <v>449</v>
      </c>
      <c r="L4" s="11"/>
    </row>
    <row r="5" spans="2:12" x14ac:dyDescent="0.25">
      <c r="B5" s="12"/>
      <c r="C5" s="16" t="s">
        <v>8</v>
      </c>
      <c r="D5" s="14"/>
      <c r="E5" s="15">
        <f>E8</f>
        <v>367</v>
      </c>
      <c r="F5" s="17">
        <f>E5/E4</f>
        <v>0.81737193763919824</v>
      </c>
      <c r="G5" s="13">
        <f>G8</f>
        <v>76</v>
      </c>
      <c r="H5" s="18">
        <f>G5/G4</f>
        <v>0.92682926829268297</v>
      </c>
      <c r="I5" s="13">
        <f>I8</f>
        <v>3</v>
      </c>
      <c r="J5" s="18">
        <f>I5/I4</f>
        <v>0.5</v>
      </c>
      <c r="K5" s="13">
        <f>K8</f>
        <v>446</v>
      </c>
      <c r="L5" s="19">
        <f>K5/K4</f>
        <v>0.99331848552338531</v>
      </c>
    </row>
    <row r="6" spans="2:12" x14ac:dyDescent="0.25">
      <c r="B6" s="12"/>
      <c r="C6" s="20" t="s">
        <v>9</v>
      </c>
      <c r="D6" s="14"/>
      <c r="E6" s="15">
        <f>E4-E5</f>
        <v>82</v>
      </c>
      <c r="F6" s="17">
        <f>E6/E4</f>
        <v>0.18262806236080179</v>
      </c>
      <c r="G6" s="13">
        <f>G4-G5</f>
        <v>6</v>
      </c>
      <c r="H6" s="18">
        <f>G6/G4</f>
        <v>7.3170731707317069E-2</v>
      </c>
      <c r="I6" s="13">
        <f>I4-I5</f>
        <v>3</v>
      </c>
      <c r="J6" s="18">
        <f>I6/I4</f>
        <v>0.5</v>
      </c>
      <c r="K6" s="13">
        <f>K4-K5</f>
        <v>3</v>
      </c>
      <c r="L6" s="19">
        <f>K6/K4</f>
        <v>6.6815144766146995E-3</v>
      </c>
    </row>
    <row r="7" spans="2:12" x14ac:dyDescent="0.25">
      <c r="B7" s="12"/>
      <c r="C7" s="13"/>
      <c r="D7" s="14"/>
      <c r="E7" s="15"/>
      <c r="F7" s="21"/>
      <c r="G7" s="22"/>
      <c r="H7" s="22"/>
      <c r="I7" s="22"/>
      <c r="J7" s="22"/>
      <c r="K7" s="22"/>
      <c r="L7" s="23"/>
    </row>
    <row r="8" spans="2:12" x14ac:dyDescent="0.25">
      <c r="B8" s="12">
        <v>1</v>
      </c>
      <c r="C8" s="13" t="s">
        <v>25</v>
      </c>
      <c r="D8" s="14" t="s">
        <v>8</v>
      </c>
      <c r="E8" s="24">
        <v>367</v>
      </c>
      <c r="F8" s="21">
        <f>E8/E4</f>
        <v>0.81737193763919824</v>
      </c>
      <c r="G8" s="22">
        <v>76</v>
      </c>
      <c r="H8" s="25">
        <f>G8/G4</f>
        <v>0.92682926829268297</v>
      </c>
      <c r="I8" s="22">
        <v>3</v>
      </c>
      <c r="J8" s="25">
        <f>I8/I4</f>
        <v>0.5</v>
      </c>
      <c r="K8" s="22">
        <f>E8+G8+I8</f>
        <v>446</v>
      </c>
      <c r="L8" s="26">
        <f>K8/K4</f>
        <v>0.99331848552338531</v>
      </c>
    </row>
    <row r="9" spans="2:12" x14ac:dyDescent="0.25">
      <c r="B9" s="12">
        <v>54</v>
      </c>
      <c r="C9" s="13" t="s">
        <v>26</v>
      </c>
      <c r="D9" s="14" t="s">
        <v>9</v>
      </c>
      <c r="E9" s="24">
        <v>53</v>
      </c>
      <c r="F9" s="21">
        <f>E9/E4</f>
        <v>0.11804008908685969</v>
      </c>
      <c r="G9" s="22">
        <v>0</v>
      </c>
      <c r="H9" s="25">
        <f>G9/G4</f>
        <v>0</v>
      </c>
      <c r="I9" s="22">
        <v>0</v>
      </c>
      <c r="J9" s="25">
        <f>I9/I4</f>
        <v>0</v>
      </c>
      <c r="K9" s="22">
        <v>0</v>
      </c>
      <c r="L9" s="26">
        <f>K9/K4</f>
        <v>0</v>
      </c>
    </row>
    <row r="10" spans="2:12" x14ac:dyDescent="0.25">
      <c r="B10" s="12">
        <v>7710</v>
      </c>
      <c r="C10" s="13" t="s">
        <v>27</v>
      </c>
      <c r="D10" s="14" t="s">
        <v>9</v>
      </c>
      <c r="E10" s="24">
        <v>8</v>
      </c>
      <c r="F10" s="21">
        <f>E10/E4</f>
        <v>1.7817371937639197E-2</v>
      </c>
      <c r="G10" s="22">
        <v>2</v>
      </c>
      <c r="H10" s="25">
        <f>G10/G4</f>
        <v>2.4390243902439025E-2</v>
      </c>
      <c r="I10" s="22">
        <v>1</v>
      </c>
      <c r="J10" s="25">
        <f>I10/I4</f>
        <v>0.16666666666666666</v>
      </c>
      <c r="K10" s="22">
        <v>1</v>
      </c>
      <c r="L10" s="26">
        <f>K10/K4</f>
        <v>2.2271714922048997E-3</v>
      </c>
    </row>
    <row r="11" spans="2:12" x14ac:dyDescent="0.25">
      <c r="B11" s="12">
        <v>61</v>
      </c>
      <c r="C11" s="13" t="s">
        <v>28</v>
      </c>
      <c r="D11" s="14" t="s">
        <v>9</v>
      </c>
      <c r="E11" s="24">
        <v>5</v>
      </c>
      <c r="F11" s="21">
        <f>E11/E4</f>
        <v>1.1135857461024499E-2</v>
      </c>
      <c r="G11" s="22">
        <v>1</v>
      </c>
      <c r="H11" s="25">
        <f>G11/G4</f>
        <v>1.2195121951219513E-2</v>
      </c>
      <c r="I11" s="22">
        <v>0</v>
      </c>
      <c r="J11" s="25">
        <f>I11/I4</f>
        <v>0</v>
      </c>
      <c r="K11" s="22">
        <v>0</v>
      </c>
      <c r="L11" s="26">
        <f>K11/K4</f>
        <v>0</v>
      </c>
    </row>
    <row r="12" spans="2:12" x14ac:dyDescent="0.25">
      <c r="B12" s="12">
        <v>40</v>
      </c>
      <c r="C12" s="13" t="s">
        <v>29</v>
      </c>
      <c r="D12" s="14" t="s">
        <v>9</v>
      </c>
      <c r="E12" s="24">
        <v>4</v>
      </c>
      <c r="F12" s="21">
        <f>E12/E4</f>
        <v>8.9086859688195987E-3</v>
      </c>
      <c r="G12" s="22">
        <v>0</v>
      </c>
      <c r="H12" s="25">
        <f>G12/G4</f>
        <v>0</v>
      </c>
      <c r="I12" s="22">
        <v>0</v>
      </c>
      <c r="J12" s="25">
        <f>I12/I4</f>
        <v>0</v>
      </c>
      <c r="K12" s="22">
        <v>0</v>
      </c>
      <c r="L12" s="26">
        <f>K12/K4</f>
        <v>0</v>
      </c>
    </row>
    <row r="13" spans="2:12" x14ac:dyDescent="0.25">
      <c r="B13" s="12">
        <v>7500</v>
      </c>
      <c r="C13" s="13" t="s">
        <v>30</v>
      </c>
      <c r="D13" s="14" t="s">
        <v>9</v>
      </c>
      <c r="E13" s="24">
        <v>2</v>
      </c>
      <c r="F13" s="21">
        <f>E13/E4</f>
        <v>4.4543429844097994E-3</v>
      </c>
      <c r="G13" s="22">
        <v>0</v>
      </c>
      <c r="H13" s="25">
        <f>G13/G4</f>
        <v>0</v>
      </c>
      <c r="I13" s="22">
        <v>0</v>
      </c>
      <c r="J13" s="25">
        <f>I13/I4</f>
        <v>0</v>
      </c>
      <c r="K13" s="22">
        <v>0</v>
      </c>
      <c r="L13" s="26">
        <f>K13/K4</f>
        <v>0</v>
      </c>
    </row>
    <row r="14" spans="2:12" x14ac:dyDescent="0.25">
      <c r="B14" s="12">
        <v>7517</v>
      </c>
      <c r="C14" s="13" t="s">
        <v>31</v>
      </c>
      <c r="D14" s="14" t="s">
        <v>9</v>
      </c>
      <c r="E14" s="24">
        <v>2</v>
      </c>
      <c r="F14" s="21">
        <f>E14/E4</f>
        <v>4.4543429844097994E-3</v>
      </c>
      <c r="G14" s="22">
        <v>0</v>
      </c>
      <c r="H14" s="25">
        <f>G14/G4</f>
        <v>0</v>
      </c>
      <c r="I14" s="22">
        <v>0</v>
      </c>
      <c r="J14" s="25">
        <f>I14/I4</f>
        <v>0</v>
      </c>
      <c r="K14" s="22">
        <v>0</v>
      </c>
      <c r="L14" s="26">
        <f>K14/K4</f>
        <v>0</v>
      </c>
    </row>
    <row r="15" spans="2:12" x14ac:dyDescent="0.25">
      <c r="B15" s="12">
        <v>60</v>
      </c>
      <c r="C15" s="13" t="s">
        <v>32</v>
      </c>
      <c r="D15" s="14" t="s">
        <v>9</v>
      </c>
      <c r="E15" s="24">
        <v>1</v>
      </c>
      <c r="F15" s="21">
        <f>E15/E4</f>
        <v>2.2271714922048997E-3</v>
      </c>
      <c r="G15" s="22">
        <v>0</v>
      </c>
      <c r="H15" s="25">
        <f>G15/G4</f>
        <v>0</v>
      </c>
      <c r="I15" s="22">
        <v>0</v>
      </c>
      <c r="J15" s="25">
        <f>I15/I4</f>
        <v>0</v>
      </c>
      <c r="K15" s="22">
        <v>0</v>
      </c>
      <c r="L15" s="26">
        <f>K15/K4</f>
        <v>0</v>
      </c>
    </row>
    <row r="16" spans="2:12" x14ac:dyDescent="0.25">
      <c r="B16" s="12">
        <v>91</v>
      </c>
      <c r="C16" s="13" t="s">
        <v>33</v>
      </c>
      <c r="D16" s="14" t="s">
        <v>9</v>
      </c>
      <c r="E16" s="24">
        <v>1</v>
      </c>
      <c r="F16" s="21">
        <f>E16/E4</f>
        <v>2.2271714922048997E-3</v>
      </c>
      <c r="G16" s="22">
        <v>0</v>
      </c>
      <c r="H16" s="25">
        <f>G16/G4</f>
        <v>0</v>
      </c>
      <c r="I16" s="22">
        <v>0</v>
      </c>
      <c r="J16" s="25">
        <f>I16/I4</f>
        <v>0</v>
      </c>
      <c r="K16" s="22">
        <v>0</v>
      </c>
      <c r="L16" s="26">
        <f>K16/K4</f>
        <v>0</v>
      </c>
    </row>
    <row r="17" spans="2:12" x14ac:dyDescent="0.25">
      <c r="B17" s="12">
        <v>7000</v>
      </c>
      <c r="C17" s="13" t="s">
        <v>34</v>
      </c>
      <c r="D17" s="14" t="s">
        <v>9</v>
      </c>
      <c r="E17" s="24">
        <v>1</v>
      </c>
      <c r="F17" s="21">
        <f>E17/E4</f>
        <v>2.2271714922048997E-3</v>
      </c>
      <c r="G17" s="22">
        <v>0</v>
      </c>
      <c r="H17" s="25">
        <f>G17/G4</f>
        <v>0</v>
      </c>
      <c r="I17" s="22">
        <v>0</v>
      </c>
      <c r="J17" s="25">
        <f>I17/I4</f>
        <v>0</v>
      </c>
      <c r="K17" s="22">
        <v>0</v>
      </c>
      <c r="L17" s="26">
        <f>K17/K4</f>
        <v>0</v>
      </c>
    </row>
    <row r="18" spans="2:12" x14ac:dyDescent="0.25">
      <c r="B18" s="12">
        <v>7103</v>
      </c>
      <c r="C18" s="13" t="s">
        <v>35</v>
      </c>
      <c r="D18" s="14" t="s">
        <v>9</v>
      </c>
      <c r="E18" s="24">
        <v>1</v>
      </c>
      <c r="F18" s="21">
        <f>E18/E4</f>
        <v>2.2271714922048997E-3</v>
      </c>
      <c r="G18" s="22">
        <v>1</v>
      </c>
      <c r="H18" s="25">
        <f>G18/G4</f>
        <v>1.2195121951219513E-2</v>
      </c>
      <c r="I18" s="22">
        <v>1</v>
      </c>
      <c r="J18" s="25">
        <f>I18/I4</f>
        <v>0.16666666666666666</v>
      </c>
      <c r="K18" s="22">
        <v>1</v>
      </c>
      <c r="L18" s="26">
        <f>K18/K4</f>
        <v>2.2271714922048997E-3</v>
      </c>
    </row>
    <row r="19" spans="2:12" x14ac:dyDescent="0.25">
      <c r="B19" s="12">
        <v>7105</v>
      </c>
      <c r="C19" s="13" t="s">
        <v>36</v>
      </c>
      <c r="D19" s="14" t="s">
        <v>9</v>
      </c>
      <c r="E19" s="24">
        <v>1</v>
      </c>
      <c r="F19" s="21">
        <f>E19/E4</f>
        <v>2.2271714922048997E-3</v>
      </c>
      <c r="G19" s="22">
        <v>0</v>
      </c>
      <c r="H19" s="25">
        <f>G19/G4</f>
        <v>0</v>
      </c>
      <c r="I19" s="22">
        <v>0</v>
      </c>
      <c r="J19" s="25">
        <f>I19/I4</f>
        <v>0</v>
      </c>
      <c r="K19" s="22">
        <v>0</v>
      </c>
      <c r="L19" s="26">
        <f>K19/K4</f>
        <v>0</v>
      </c>
    </row>
    <row r="20" spans="2:12" x14ac:dyDescent="0.25">
      <c r="B20" s="12">
        <v>7503</v>
      </c>
      <c r="C20" s="13" t="s">
        <v>37</v>
      </c>
      <c r="D20" s="14" t="s">
        <v>9</v>
      </c>
      <c r="E20" s="24">
        <v>1</v>
      </c>
      <c r="F20" s="21">
        <f>E20/E4</f>
        <v>2.2271714922048997E-3</v>
      </c>
      <c r="G20" s="22">
        <v>1</v>
      </c>
      <c r="H20" s="25">
        <f>G20/G4</f>
        <v>1.2195121951219513E-2</v>
      </c>
      <c r="I20" s="22">
        <v>1</v>
      </c>
      <c r="J20" s="25">
        <f>I20/I4</f>
        <v>0.16666666666666666</v>
      </c>
      <c r="K20" s="22">
        <v>1</v>
      </c>
      <c r="L20" s="26">
        <f>K20/K4</f>
        <v>2.2271714922048997E-3</v>
      </c>
    </row>
    <row r="21" spans="2:12" x14ac:dyDescent="0.25">
      <c r="B21" s="12">
        <v>7513</v>
      </c>
      <c r="C21" s="13" t="s">
        <v>38</v>
      </c>
      <c r="D21" s="14" t="s">
        <v>9</v>
      </c>
      <c r="E21" s="24">
        <v>1</v>
      </c>
      <c r="F21" s="21">
        <f>E21/E4</f>
        <v>2.2271714922048997E-3</v>
      </c>
      <c r="G21" s="22">
        <v>0</v>
      </c>
      <c r="H21" s="25">
        <f>G21/G4</f>
        <v>0</v>
      </c>
      <c r="I21" s="22">
        <v>0</v>
      </c>
      <c r="J21" s="25">
        <f>I21/I4</f>
        <v>0</v>
      </c>
      <c r="K21" s="22">
        <v>0</v>
      </c>
      <c r="L21" s="26">
        <f>K21/K4</f>
        <v>0</v>
      </c>
    </row>
    <row r="22" spans="2:12" x14ac:dyDescent="0.25">
      <c r="B22" s="12">
        <v>7515</v>
      </c>
      <c r="C22" s="13" t="s">
        <v>39</v>
      </c>
      <c r="D22" s="14" t="s">
        <v>9</v>
      </c>
      <c r="E22" s="24">
        <v>1</v>
      </c>
      <c r="F22" s="21">
        <f>E22/E4</f>
        <v>2.2271714922048997E-3</v>
      </c>
      <c r="G22" s="22">
        <v>0</v>
      </c>
      <c r="H22" s="25">
        <f>G22/G4</f>
        <v>0</v>
      </c>
      <c r="I22" s="22">
        <v>0</v>
      </c>
      <c r="J22" s="25">
        <f>I22/I4</f>
        <v>0</v>
      </c>
      <c r="K22" s="22">
        <v>0</v>
      </c>
      <c r="L22" s="26">
        <f>K22/K4</f>
        <v>0</v>
      </c>
    </row>
    <row r="23" spans="2:12" x14ac:dyDescent="0.25">
      <c r="B23" s="12">
        <v>7711</v>
      </c>
      <c r="C23" s="13" t="s">
        <v>40</v>
      </c>
      <c r="D23" s="14" t="s">
        <v>9</v>
      </c>
      <c r="E23" s="24">
        <v>0</v>
      </c>
      <c r="F23" s="21">
        <f>E23/E4</f>
        <v>0</v>
      </c>
      <c r="G23" s="22">
        <v>1</v>
      </c>
      <c r="H23" s="25">
        <f>G23/G4</f>
        <v>1.2195121951219513E-2</v>
      </c>
      <c r="I23" s="22">
        <v>0</v>
      </c>
      <c r="J23" s="25">
        <f>I23/I4</f>
        <v>0</v>
      </c>
      <c r="K23" s="22">
        <v>0</v>
      </c>
      <c r="L23" s="26">
        <f>K23/K4</f>
        <v>0</v>
      </c>
    </row>
    <row r="24" spans="2:12" x14ac:dyDescent="0.25">
      <c r="B24" s="12"/>
      <c r="C24" s="13"/>
      <c r="D24" s="14" t="s">
        <v>9</v>
      </c>
      <c r="E24" s="24"/>
      <c r="F24" s="21">
        <f>E24/E4</f>
        <v>0</v>
      </c>
      <c r="G24" s="22"/>
      <c r="H24" s="25">
        <f>G24/G4</f>
        <v>0</v>
      </c>
      <c r="I24" s="22"/>
      <c r="J24" s="25">
        <f>I24/I4</f>
        <v>0</v>
      </c>
      <c r="K24" s="22"/>
      <c r="L24" s="26">
        <f>K24/K4</f>
        <v>0</v>
      </c>
    </row>
    <row r="25" spans="2:12" x14ac:dyDescent="0.25">
      <c r="B25" s="12"/>
      <c r="C25" s="13"/>
      <c r="D25" s="14" t="s">
        <v>9</v>
      </c>
      <c r="E25" s="24"/>
      <c r="F25" s="21">
        <f>E25/E4</f>
        <v>0</v>
      </c>
      <c r="G25" s="22"/>
      <c r="H25" s="25">
        <f>G25/G4</f>
        <v>0</v>
      </c>
      <c r="I25" s="22"/>
      <c r="J25" s="25">
        <f>I25/I4</f>
        <v>0</v>
      </c>
      <c r="K25" s="22"/>
      <c r="L25" s="26">
        <f>K25/K4</f>
        <v>0</v>
      </c>
    </row>
    <row r="26" spans="2:12" x14ac:dyDescent="0.25">
      <c r="B26" s="12"/>
      <c r="C26" s="13"/>
      <c r="D26" s="14" t="s">
        <v>9</v>
      </c>
      <c r="E26" s="24"/>
      <c r="F26" s="21">
        <f>E26/E4</f>
        <v>0</v>
      </c>
      <c r="G26" s="22"/>
      <c r="H26" s="25">
        <f>G26/G4</f>
        <v>0</v>
      </c>
      <c r="I26" s="22"/>
      <c r="J26" s="25">
        <f>I26/I4</f>
        <v>0</v>
      </c>
      <c r="K26" s="22"/>
      <c r="L26" s="26">
        <f>K26/K4</f>
        <v>0</v>
      </c>
    </row>
    <row r="27" spans="2:12" x14ac:dyDescent="0.25">
      <c r="B27" s="12"/>
      <c r="C27" s="13"/>
      <c r="D27" s="14" t="s">
        <v>9</v>
      </c>
      <c r="E27" s="24"/>
      <c r="F27" s="21">
        <f>E27/E4</f>
        <v>0</v>
      </c>
      <c r="G27" s="22"/>
      <c r="H27" s="25">
        <f>G27/G4</f>
        <v>0</v>
      </c>
      <c r="I27" s="22"/>
      <c r="J27" s="25">
        <f>I27/I4</f>
        <v>0</v>
      </c>
      <c r="K27" s="22"/>
      <c r="L27" s="26">
        <f>K27/K4</f>
        <v>0</v>
      </c>
    </row>
    <row r="28" spans="2:12" x14ac:dyDescent="0.25">
      <c r="B28" s="12"/>
      <c r="C28" s="13"/>
      <c r="D28" s="14" t="s">
        <v>9</v>
      </c>
      <c r="E28" s="24"/>
      <c r="F28" s="21">
        <f>E28/E4</f>
        <v>0</v>
      </c>
      <c r="G28" s="22"/>
      <c r="H28" s="21">
        <f>G28/G4</f>
        <v>0</v>
      </c>
      <c r="I28" s="22"/>
      <c r="J28" s="21">
        <f>I28/I4</f>
        <v>0</v>
      </c>
      <c r="K28" s="22"/>
      <c r="L28" s="21">
        <f>K28/K4</f>
        <v>0</v>
      </c>
    </row>
    <row r="29" spans="2:12" x14ac:dyDescent="0.25">
      <c r="B29" s="12"/>
      <c r="C29" s="13"/>
      <c r="D29" s="14" t="s">
        <v>9</v>
      </c>
      <c r="E29" s="24"/>
      <c r="F29" s="21">
        <f>E29/E4</f>
        <v>0</v>
      </c>
      <c r="G29" s="22"/>
      <c r="H29" s="25">
        <f>G29/G4</f>
        <v>0</v>
      </c>
      <c r="I29" s="22"/>
      <c r="J29" s="25">
        <f>I29/I4</f>
        <v>0</v>
      </c>
      <c r="K29" s="22"/>
      <c r="L29" s="26">
        <f>K29/K4</f>
        <v>0</v>
      </c>
    </row>
    <row r="30" spans="2:12" x14ac:dyDescent="0.25">
      <c r="B30" s="12"/>
      <c r="C30" s="13"/>
      <c r="D30" s="14" t="s">
        <v>9</v>
      </c>
      <c r="E30" s="24"/>
      <c r="F30" s="21">
        <f>E30/E4</f>
        <v>0</v>
      </c>
      <c r="G30" s="22"/>
      <c r="H30" s="25">
        <f>G30/G4</f>
        <v>0</v>
      </c>
      <c r="I30" s="22"/>
      <c r="J30" s="25">
        <f>I30/I4</f>
        <v>0</v>
      </c>
      <c r="K30" s="22"/>
      <c r="L30" s="26">
        <f>K30/K4</f>
        <v>0</v>
      </c>
    </row>
    <row r="31" spans="2:12" x14ac:dyDescent="0.25">
      <c r="B31" s="12"/>
      <c r="C31" s="13"/>
      <c r="D31" s="14" t="s">
        <v>9</v>
      </c>
      <c r="E31" s="24"/>
      <c r="F31" s="21">
        <f>E31/E4</f>
        <v>0</v>
      </c>
      <c r="G31" s="22"/>
      <c r="H31" s="25">
        <f>G31/G4</f>
        <v>0</v>
      </c>
      <c r="I31" s="22"/>
      <c r="J31" s="25">
        <f>I31/I4</f>
        <v>0</v>
      </c>
      <c r="K31" s="22"/>
      <c r="L31" s="26">
        <f>K31/K4</f>
        <v>0</v>
      </c>
    </row>
    <row r="32" spans="2:12" x14ac:dyDescent="0.25">
      <c r="B32" s="12"/>
      <c r="C32" s="13"/>
      <c r="D32" s="14" t="s">
        <v>9</v>
      </c>
      <c r="E32" s="24"/>
      <c r="F32" s="21">
        <f>E32/E4</f>
        <v>0</v>
      </c>
      <c r="G32" s="22"/>
      <c r="H32" s="25">
        <f>G32/G4</f>
        <v>0</v>
      </c>
      <c r="I32" s="22"/>
      <c r="J32" s="25">
        <f>I32/I4</f>
        <v>0</v>
      </c>
      <c r="K32" s="22"/>
      <c r="L32" s="26">
        <f>K32/K4</f>
        <v>0</v>
      </c>
    </row>
    <row r="33" spans="2:12" x14ac:dyDescent="0.25">
      <c r="B33" s="12"/>
      <c r="C33" s="13"/>
      <c r="D33" s="14" t="s">
        <v>9</v>
      </c>
      <c r="E33" s="24"/>
      <c r="F33" s="21">
        <f>E33/E4</f>
        <v>0</v>
      </c>
      <c r="G33" s="22"/>
      <c r="H33" s="25">
        <f>G33/G4</f>
        <v>0</v>
      </c>
      <c r="I33" s="22"/>
      <c r="J33" s="25">
        <f>I33/I4</f>
        <v>0</v>
      </c>
      <c r="K33" s="22"/>
      <c r="L33" s="26">
        <f>K33/K4</f>
        <v>0</v>
      </c>
    </row>
    <row r="34" spans="2:12" x14ac:dyDescent="0.25">
      <c r="B34" s="12"/>
      <c r="C34" s="13"/>
      <c r="D34" s="14" t="s">
        <v>9</v>
      </c>
      <c r="E34" s="24"/>
      <c r="F34" s="21">
        <f>E34/E4</f>
        <v>0</v>
      </c>
      <c r="G34" s="22"/>
      <c r="H34" s="25">
        <f>G34/G4</f>
        <v>0</v>
      </c>
      <c r="I34" s="22"/>
      <c r="J34" s="25">
        <f>I34/I4</f>
        <v>0</v>
      </c>
      <c r="K34" s="22"/>
      <c r="L34" s="26">
        <f>K34/K4</f>
        <v>0</v>
      </c>
    </row>
    <row r="35" spans="2:12" x14ac:dyDescent="0.25">
      <c r="B35" s="12"/>
      <c r="C35" s="13"/>
      <c r="D35" s="14" t="s">
        <v>9</v>
      </c>
      <c r="E35" s="24"/>
      <c r="F35" s="21">
        <f>E35/E4</f>
        <v>0</v>
      </c>
      <c r="G35" s="22"/>
      <c r="H35" s="25">
        <f>G35/G4</f>
        <v>0</v>
      </c>
      <c r="I35" s="22"/>
      <c r="J35" s="25">
        <f>I35/I4</f>
        <v>0</v>
      </c>
      <c r="K35" s="22"/>
      <c r="L35" s="26">
        <f>K35/K4</f>
        <v>0</v>
      </c>
    </row>
    <row r="36" spans="2:12" x14ac:dyDescent="0.25">
      <c r="B36" s="12"/>
      <c r="C36" s="13"/>
      <c r="D36" s="14" t="s">
        <v>9</v>
      </c>
      <c r="E36" s="24"/>
      <c r="F36" s="21">
        <f>E36/E4</f>
        <v>0</v>
      </c>
      <c r="G36" s="22"/>
      <c r="H36" s="25">
        <f>G36/G4</f>
        <v>0</v>
      </c>
      <c r="I36" s="22"/>
      <c r="J36" s="25">
        <f>I36/I4</f>
        <v>0</v>
      </c>
      <c r="K36" s="22"/>
      <c r="L36" s="26">
        <f>K36/K4</f>
        <v>0</v>
      </c>
    </row>
    <row r="37" spans="2:12" ht="14.5" thickBot="1" x14ac:dyDescent="0.3">
      <c r="B37" s="2"/>
      <c r="C37" s="3"/>
      <c r="D37" s="4" t="s">
        <v>9</v>
      </c>
      <c r="E37" s="27"/>
      <c r="F37" s="28">
        <f>E37/E4</f>
        <v>0</v>
      </c>
      <c r="G37" s="29"/>
      <c r="H37" s="30">
        <f>G37/G4</f>
        <v>0</v>
      </c>
      <c r="I37" s="29"/>
      <c r="J37" s="30">
        <f>I37/I4</f>
        <v>0</v>
      </c>
      <c r="K37" s="29"/>
      <c r="L37" s="31">
        <f>K37/K4</f>
        <v>0</v>
      </c>
    </row>
  </sheetData>
  <mergeCells count="5">
    <mergeCell ref="B2:C2"/>
    <mergeCell ref="E2:F2"/>
    <mergeCell ref="G2:H2"/>
    <mergeCell ref="I2:J2"/>
    <mergeCell ref="K2:L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FT</vt:lpstr>
      <vt:lpstr>QC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2026-05-09T02:30:45Z</dcterms:modified>
</cp:coreProperties>
</file>